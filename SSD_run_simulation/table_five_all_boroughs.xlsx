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ssd-dss\SSD_run_simulation\"/>
    </mc:Choice>
  </mc:AlternateContent>
  <xr:revisionPtr revIDLastSave="0" documentId="13_ncr:1_{FC8236E3-A3F5-4DED-9DA2-31A091C4730E}" xr6:coauthVersionLast="47" xr6:coauthVersionMax="47" xr10:uidLastSave="{00000000-0000-0000-0000-000000000000}"/>
  <bookViews>
    <workbookView xWindow="2820" yWindow="840" windowWidth="23190" windowHeight="14550" activeTab="2" xr2:uid="{00000000-000D-0000-FFFF-FFFF00000000}"/>
  </bookViews>
  <sheets>
    <sheet name="Top_and_low_five" sheetId="1" r:id="rId1"/>
    <sheet name="All_boroughs" sheetId="2" r:id="rId2"/>
    <sheet name="Three_selec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I3" i="1"/>
  <c r="I4" i="1"/>
  <c r="I5" i="1"/>
  <c r="I6" i="1"/>
  <c r="I7" i="1"/>
  <c r="I8" i="1"/>
  <c r="I9" i="1"/>
  <c r="I10" i="1"/>
  <c r="I11" i="1"/>
  <c r="I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<sst xmlns="http://schemas.openxmlformats.org/spreadsheetml/2006/main" count="86" uniqueCount="46">
  <si>
    <t>NUM</t>
  </si>
  <si>
    <t>Borough</t>
  </si>
  <si>
    <t>HFI_t0</t>
  </si>
  <si>
    <t>HFIcirc_t0</t>
  </si>
  <si>
    <t>AvailHealthy_t0</t>
  </si>
  <si>
    <t>AccessHealthy_t0</t>
  </si>
  <si>
    <t>StoreDensity_t0</t>
  </si>
  <si>
    <t>FastFoodDensity_t0</t>
  </si>
  <si>
    <t>ShelterLess30_t0</t>
  </si>
  <si>
    <t>ShelterMore30_t0</t>
  </si>
  <si>
    <t>PTaccess_t0</t>
  </si>
  <si>
    <t>Ville-Marie</t>
  </si>
  <si>
    <t>Le Plateau-Mont-Royal</t>
  </si>
  <si>
    <t>Sainte-Anne-de-Bellevue</t>
  </si>
  <si>
    <t>Dorval</t>
  </si>
  <si>
    <t>Mont-Royal</t>
  </si>
  <si>
    <t>Mercier-Hochelaga-Maisonneuve</t>
  </si>
  <si>
    <t>Baie-D'Urfé</t>
  </si>
  <si>
    <t>Montréal-Est</t>
  </si>
  <si>
    <t>Rivière-des-Prairies-Pointe-aux-Trembles</t>
  </si>
  <si>
    <t>L'Île-Bizard-Sainte-Geneviève</t>
  </si>
  <si>
    <t xml:space="preserve">Percent shelter </t>
  </si>
  <si>
    <t>Ratio Food</t>
  </si>
  <si>
    <t>Westmount</t>
  </si>
  <si>
    <t>Côte-des-Neiges-Notre-Dame-de-Grâce</t>
  </si>
  <si>
    <t>Kirkland</t>
  </si>
  <si>
    <t>Côte-Saint-Luc</t>
  </si>
  <si>
    <t>Dollard-des-Ormeaux</t>
  </si>
  <si>
    <t>Senneville</t>
  </si>
  <si>
    <t>Saint-Laurent</t>
  </si>
  <si>
    <t>Pointe-Claire</t>
  </si>
  <si>
    <t>Outremont</t>
  </si>
  <si>
    <t>Hampstead</t>
  </si>
  <si>
    <t>Verdun</t>
  </si>
  <si>
    <t>Montréal-Ouest</t>
  </si>
  <si>
    <t>Saint-Léonard</t>
  </si>
  <si>
    <t>Lachine</t>
  </si>
  <si>
    <t>Rosemont-La Petite-Patrie</t>
  </si>
  <si>
    <t>Le Sud-Ouest</t>
  </si>
  <si>
    <t>Villeray-Saint-Michel-Parc-Extension</t>
  </si>
  <si>
    <t>Montréal-Nord</t>
  </si>
  <si>
    <t>LaSalle</t>
  </si>
  <si>
    <t>Pierrefonds-Roxboro</t>
  </si>
  <si>
    <t>Anjou</t>
  </si>
  <si>
    <t>Ahuntsic-Cartierville</t>
  </si>
  <si>
    <t>Beaconsfield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</si>
</sst>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164" fontId="0" fillId="0" borderId="0" xfId="0" applyNumberFormat="1"/>
    <xf numFmtId="164" fontId="0" fillId="0" borderId="3" xfId="0" applyNumberFormat="1" applyBorder="1"/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2" fontId="0" fillId="0" borderId="3" xfId="0" applyNumberFormat="1" applyBorder="1"/>
    <xf numFmtId="9" fontId="0" fillId="0" borderId="0" xfId="1" applyFont="1"/>
    <xf numFmtId="0" fontId="1" fillId="0" borderId="4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9" fontId="0" fillId="2" borderId="0" xfId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I1" sqref="I1:J1"/>
    </sheetView>
  </sheetViews>
  <sheetFormatPr baseColWidth="10" defaultColWidth="9.140625" defaultRowHeight="15" x14ac:dyDescent="0.25"/>
  <cols>
    <col min="2" max="2" width="38.7109375" bestFit="1" customWidth="1"/>
    <col min="3" max="3" width="6.5703125" bestFit="1" customWidth="1"/>
    <col min="4" max="4" width="9.5703125" bestFit="1" customWidth="1"/>
    <col min="5" max="5" width="15" bestFit="1" customWidth="1"/>
    <col min="6" max="6" width="16.5703125" bestFit="1" customWidth="1"/>
    <col min="7" max="7" width="15.140625" bestFit="1" customWidth="1"/>
    <col min="8" max="8" width="18.5703125" bestFit="1" customWidth="1"/>
    <col min="9" max="9" width="12" bestFit="1" customWidth="1"/>
    <col min="10" max="10" width="1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22</v>
      </c>
      <c r="J1" s="2" t="s">
        <v>21</v>
      </c>
      <c r="L1" s="1" t="s">
        <v>8</v>
      </c>
      <c r="M1" s="1" t="s">
        <v>9</v>
      </c>
      <c r="N1" s="1" t="s">
        <v>10</v>
      </c>
    </row>
    <row r="2" spans="1:14" x14ac:dyDescent="0.25">
      <c r="A2">
        <v>20</v>
      </c>
      <c r="B2" t="s">
        <v>11</v>
      </c>
      <c r="C2">
        <v>0.221</v>
      </c>
      <c r="D2">
        <v>0.11799999999999999</v>
      </c>
      <c r="E2">
        <v>0.14699999999999999</v>
      </c>
      <c r="F2">
        <v>0.45800000000000002</v>
      </c>
      <c r="G2">
        <v>89.974000000000004</v>
      </c>
      <c r="H2">
        <v>394.78699999999998</v>
      </c>
      <c r="I2" s="7">
        <f>G2/H2</f>
        <v>0.22790517418253389</v>
      </c>
      <c r="J2" s="4">
        <f>M2/(L2+M2)</f>
        <v>0.37381428049208265</v>
      </c>
      <c r="L2">
        <v>39242.574999999997</v>
      </c>
      <c r="M2">
        <v>23426.651999999998</v>
      </c>
      <c r="N2">
        <v>1</v>
      </c>
    </row>
    <row r="3" spans="1:14" x14ac:dyDescent="0.25">
      <c r="A3">
        <v>22</v>
      </c>
      <c r="B3" t="s">
        <v>12</v>
      </c>
      <c r="C3">
        <v>0.17899999999999999</v>
      </c>
      <c r="D3">
        <v>0.125</v>
      </c>
      <c r="E3">
        <v>0.223</v>
      </c>
      <c r="F3">
        <v>0.60599999999999998</v>
      </c>
      <c r="G3">
        <v>60.036000000000001</v>
      </c>
      <c r="H3">
        <v>135.97900000000001</v>
      </c>
      <c r="I3" s="7">
        <f>G3/H3</f>
        <v>0.44150935070856528</v>
      </c>
      <c r="J3" s="4">
        <f>M3/(L3+M3)</f>
        <v>0.31641848186658117</v>
      </c>
      <c r="L3">
        <v>38948.997000000003</v>
      </c>
      <c r="M3">
        <v>18028.841</v>
      </c>
      <c r="N3">
        <v>1</v>
      </c>
    </row>
    <row r="4" spans="1:14" x14ac:dyDescent="0.25">
      <c r="A4">
        <v>76</v>
      </c>
      <c r="B4" t="s">
        <v>13</v>
      </c>
      <c r="C4">
        <v>0.17499999999999999</v>
      </c>
      <c r="D4">
        <v>0.123</v>
      </c>
      <c r="E4">
        <v>0.13800000000000001</v>
      </c>
      <c r="F4">
        <v>0.442</v>
      </c>
      <c r="G4">
        <v>3.83</v>
      </c>
      <c r="H4">
        <v>25.321999999999999</v>
      </c>
      <c r="I4" s="7">
        <f>G4/H4</f>
        <v>0.15125187583919122</v>
      </c>
      <c r="J4" s="4">
        <f>M4/(L4+M4)</f>
        <v>0.22904239059933212</v>
      </c>
      <c r="L4">
        <v>1617.7149999999999</v>
      </c>
      <c r="M4">
        <v>480.60399999999998</v>
      </c>
      <c r="N4">
        <v>1</v>
      </c>
    </row>
    <row r="5" spans="1:14" x14ac:dyDescent="0.25">
      <c r="A5">
        <v>1</v>
      </c>
      <c r="B5" t="s">
        <v>14</v>
      </c>
      <c r="C5">
        <v>0.17100000000000001</v>
      </c>
      <c r="D5">
        <v>0.12</v>
      </c>
      <c r="E5">
        <v>0.153</v>
      </c>
      <c r="F5">
        <v>0.46899999999999997</v>
      </c>
      <c r="G5">
        <v>5.694</v>
      </c>
      <c r="H5">
        <v>21.783000000000001</v>
      </c>
      <c r="I5" s="7">
        <f>G5/H5</f>
        <v>0.26139650185924801</v>
      </c>
      <c r="J5" s="4">
        <f>M5/(L5+M5)</f>
        <v>0.18705955276819469</v>
      </c>
      <c r="L5">
        <v>7057.21</v>
      </c>
      <c r="M5">
        <v>1623.8810000000001</v>
      </c>
      <c r="N5">
        <v>1</v>
      </c>
    </row>
    <row r="6" spans="1:14" s="3" customFormat="1" x14ac:dyDescent="0.25">
      <c r="A6" s="3">
        <v>2</v>
      </c>
      <c r="B6" s="3" t="s">
        <v>15</v>
      </c>
      <c r="C6" s="3">
        <v>0.17</v>
      </c>
      <c r="D6" s="3">
        <v>0.13800000000000001</v>
      </c>
      <c r="E6" s="3">
        <v>0.191</v>
      </c>
      <c r="F6" s="3">
        <v>0.54100000000000004</v>
      </c>
      <c r="G6" s="3">
        <v>4.4240000000000004</v>
      </c>
      <c r="H6" s="3">
        <v>11.682</v>
      </c>
      <c r="I6" s="8">
        <f>G6/H6</f>
        <v>0.37870227700736175</v>
      </c>
      <c r="J6" s="5">
        <f>M6/(L6+M6)</f>
        <v>0.21730615151784918</v>
      </c>
      <c r="L6" s="3">
        <v>5987.3519999999999</v>
      </c>
      <c r="M6" s="3">
        <v>1662.3209999999999</v>
      </c>
      <c r="N6" s="3">
        <v>1</v>
      </c>
    </row>
    <row r="7" spans="1:14" x14ac:dyDescent="0.25">
      <c r="A7">
        <v>23</v>
      </c>
      <c r="B7" t="s">
        <v>16</v>
      </c>
      <c r="C7">
        <v>0.14000000000000001</v>
      </c>
      <c r="D7">
        <v>0.125</v>
      </c>
      <c r="E7">
        <v>0.32600000000000001</v>
      </c>
      <c r="F7">
        <v>0.89500000000000002</v>
      </c>
      <c r="G7">
        <v>18.806000000000001</v>
      </c>
      <c r="H7">
        <v>24.504000000000001</v>
      </c>
      <c r="I7" s="7">
        <f>G7/H7</f>
        <v>0.76746653607574278</v>
      </c>
      <c r="J7" s="4">
        <f>M7/(L7+M7)</f>
        <v>0.21092358555591548</v>
      </c>
      <c r="L7">
        <v>54736.3</v>
      </c>
      <c r="M7">
        <v>14631.253000000001</v>
      </c>
      <c r="N7">
        <v>1</v>
      </c>
    </row>
    <row r="8" spans="1:14" x14ac:dyDescent="0.25">
      <c r="A8">
        <v>71</v>
      </c>
      <c r="B8" t="s">
        <v>17</v>
      </c>
      <c r="C8">
        <v>0.14000000000000001</v>
      </c>
      <c r="D8">
        <v>0.11799999999999999</v>
      </c>
      <c r="E8">
        <v>0.33100000000000002</v>
      </c>
      <c r="F8">
        <v>0.92700000000000005</v>
      </c>
      <c r="G8">
        <v>0.63800000000000001</v>
      </c>
      <c r="H8">
        <v>0.40400000000000003</v>
      </c>
      <c r="I8" s="7">
        <f>G8/H8</f>
        <v>1.5792079207920791</v>
      </c>
      <c r="J8" s="4">
        <f>M8/(L8+M8)</f>
        <v>0.11326058639071571</v>
      </c>
      <c r="L8">
        <v>1171.5609999999999</v>
      </c>
      <c r="M8">
        <v>149.63999999999999</v>
      </c>
      <c r="N8">
        <v>1</v>
      </c>
    </row>
    <row r="9" spans="1:14" x14ac:dyDescent="0.25">
      <c r="A9">
        <v>74</v>
      </c>
      <c r="B9" t="s">
        <v>18</v>
      </c>
      <c r="C9">
        <v>0.13900000000000001</v>
      </c>
      <c r="D9">
        <v>0.129</v>
      </c>
      <c r="E9">
        <v>0.33100000000000002</v>
      </c>
      <c r="F9">
        <v>0.92700000000000005</v>
      </c>
      <c r="G9">
        <v>6.867</v>
      </c>
      <c r="H9">
        <v>5.125</v>
      </c>
      <c r="I9" s="7">
        <f>G9/H9</f>
        <v>1.3399024390243903</v>
      </c>
      <c r="J9" s="4">
        <f>M9/(L9+M9)</f>
        <v>0.18843285302733545</v>
      </c>
      <c r="L9">
        <v>1671.9459999999999</v>
      </c>
      <c r="M9">
        <v>388.19900000000001</v>
      </c>
      <c r="N9">
        <v>1</v>
      </c>
    </row>
    <row r="10" spans="1:14" x14ac:dyDescent="0.25">
      <c r="A10">
        <v>19</v>
      </c>
      <c r="B10" t="s">
        <v>19</v>
      </c>
      <c r="C10">
        <v>0.13800000000000001</v>
      </c>
      <c r="D10">
        <v>0.124</v>
      </c>
      <c r="E10">
        <v>0.33</v>
      </c>
      <c r="F10">
        <v>0.91500000000000004</v>
      </c>
      <c r="G10">
        <v>6.3410000000000002</v>
      </c>
      <c r="H10">
        <v>7.2489999999999997</v>
      </c>
      <c r="I10" s="7">
        <f>G10/H10</f>
        <v>0.87474134363360467</v>
      </c>
      <c r="J10" s="4">
        <f>M10/(L10+M10)</f>
        <v>0.1617881715231968</v>
      </c>
      <c r="L10">
        <v>36876.489000000001</v>
      </c>
      <c r="M10">
        <v>7117.7470000000003</v>
      </c>
      <c r="N10">
        <v>1</v>
      </c>
    </row>
    <row r="11" spans="1:14" x14ac:dyDescent="0.25">
      <c r="A11">
        <v>6</v>
      </c>
      <c r="B11" t="s">
        <v>20</v>
      </c>
      <c r="C11">
        <v>0.13800000000000001</v>
      </c>
      <c r="D11">
        <v>0.126</v>
      </c>
      <c r="E11">
        <v>0.32800000000000001</v>
      </c>
      <c r="F11">
        <v>0.90600000000000003</v>
      </c>
      <c r="G11">
        <v>1.7869999999999999</v>
      </c>
      <c r="H11">
        <v>2.1930000000000001</v>
      </c>
      <c r="I11" s="7">
        <f>G11/H11</f>
        <v>0.81486548107615131</v>
      </c>
      <c r="J11" s="4">
        <f>M11/(L11+M11)</f>
        <v>0.16946180133938235</v>
      </c>
      <c r="L11">
        <v>5793.3810000000003</v>
      </c>
      <c r="M11">
        <v>1182.0730000000001</v>
      </c>
      <c r="N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A8E0-370F-4B61-B8A3-469627DE335F}">
  <dimension ref="A1:N35"/>
  <sheetViews>
    <sheetView workbookViewId="0">
      <selection activeCell="A31" sqref="A31:XFD31"/>
    </sheetView>
  </sheetViews>
  <sheetFormatPr baseColWidth="10" defaultColWidth="9.140625" defaultRowHeight="15" x14ac:dyDescent="0.25"/>
  <cols>
    <col min="1" max="1" width="5.7109375" bestFit="1" customWidth="1"/>
    <col min="2" max="2" width="38.7109375" bestFit="1" customWidth="1"/>
    <col min="3" max="3" width="6.5703125" bestFit="1" customWidth="1"/>
    <col min="4" max="4" width="9.5703125" bestFit="1" customWidth="1"/>
    <col min="5" max="5" width="15" bestFit="1" customWidth="1"/>
    <col min="6" max="6" width="16.5703125" bestFit="1" customWidth="1"/>
    <col min="7" max="7" width="15.140625" bestFit="1" customWidth="1"/>
    <col min="8" max="8" width="18.5703125" bestFit="1" customWidth="1"/>
    <col min="9" max="9" width="10.42578125" bestFit="1" customWidth="1"/>
    <col min="10" max="10" width="15" bestFit="1" customWidth="1"/>
    <col min="12" max="12" width="15.85546875" bestFit="1" customWidth="1"/>
    <col min="13" max="13" width="17.140625" bestFit="1" customWidth="1"/>
    <col min="14" max="14" width="11.42578125" bestFit="1" customWidth="1"/>
  </cols>
  <sheetData>
    <row r="1" spans="1:14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22</v>
      </c>
      <c r="J1" s="11" t="s">
        <v>21</v>
      </c>
      <c r="L1" s="1" t="s">
        <v>8</v>
      </c>
      <c r="M1" s="1" t="s">
        <v>9</v>
      </c>
      <c r="N1" s="1" t="s">
        <v>10</v>
      </c>
    </row>
    <row r="2" spans="1:14" s="12" customFormat="1" x14ac:dyDescent="0.25">
      <c r="A2" s="12">
        <v>20</v>
      </c>
      <c r="B2" s="12" t="s">
        <v>11</v>
      </c>
      <c r="C2" s="12">
        <v>0.218</v>
      </c>
      <c r="D2" s="12">
        <v>9.6000000000000002E-2</v>
      </c>
      <c r="E2" s="12">
        <v>0.14699999999999999</v>
      </c>
      <c r="F2" s="12">
        <v>0.45800000000000002</v>
      </c>
      <c r="G2" s="12">
        <v>89.974000000000004</v>
      </c>
      <c r="H2" s="12">
        <v>394.78699999999998</v>
      </c>
      <c r="I2" s="13">
        <f>G2/H2</f>
        <v>0.22790517418253389</v>
      </c>
      <c r="J2" s="14">
        <f>M2/(M2+L2)</f>
        <v>0.37381428049208265</v>
      </c>
      <c r="L2" s="12">
        <v>39242.574999999997</v>
      </c>
      <c r="M2" s="12">
        <v>23426.651999999998</v>
      </c>
      <c r="N2" s="12">
        <v>1</v>
      </c>
    </row>
    <row r="3" spans="1:14" x14ac:dyDescent="0.25">
      <c r="A3">
        <v>22</v>
      </c>
      <c r="B3" t="s">
        <v>12</v>
      </c>
      <c r="C3">
        <v>0.17499999999999999</v>
      </c>
      <c r="D3">
        <v>9.9000000000000005E-2</v>
      </c>
      <c r="E3">
        <v>0.223</v>
      </c>
      <c r="F3">
        <v>0.60599999999999998</v>
      </c>
      <c r="G3">
        <v>60.036000000000001</v>
      </c>
      <c r="H3">
        <v>135.97900000000001</v>
      </c>
      <c r="I3" s="4">
        <f t="shared" ref="I3:I35" si="0">G3/H3</f>
        <v>0.44150935070856528</v>
      </c>
      <c r="J3" s="9">
        <f t="shared" ref="J3:J35" si="1">M3/(M3+L3)</f>
        <v>0.31641848186658117</v>
      </c>
      <c r="L3">
        <v>38948.997000000003</v>
      </c>
      <c r="M3">
        <v>18028.841</v>
      </c>
      <c r="N3">
        <v>1</v>
      </c>
    </row>
    <row r="4" spans="1:14" x14ac:dyDescent="0.25">
      <c r="A4">
        <v>76</v>
      </c>
      <c r="B4" t="s">
        <v>13</v>
      </c>
      <c r="C4">
        <v>0.16900000000000001</v>
      </c>
      <c r="D4">
        <v>8.4000000000000005E-2</v>
      </c>
      <c r="E4">
        <v>0.13800000000000001</v>
      </c>
      <c r="F4">
        <v>0.442</v>
      </c>
      <c r="G4">
        <v>3.83</v>
      </c>
      <c r="H4">
        <v>25.321999999999999</v>
      </c>
      <c r="I4" s="4">
        <f t="shared" si="0"/>
        <v>0.15125187583919122</v>
      </c>
      <c r="J4" s="9">
        <f t="shared" si="1"/>
        <v>0.22904239059933212</v>
      </c>
      <c r="L4">
        <v>1617.7149999999999</v>
      </c>
      <c r="M4">
        <v>480.60399999999998</v>
      </c>
      <c r="N4">
        <v>1</v>
      </c>
    </row>
    <row r="5" spans="1:14" x14ac:dyDescent="0.25">
      <c r="A5">
        <v>1</v>
      </c>
      <c r="B5" t="s">
        <v>14</v>
      </c>
      <c r="C5">
        <v>0.16500000000000001</v>
      </c>
      <c r="D5">
        <v>8.1000000000000003E-2</v>
      </c>
      <c r="E5">
        <v>0.153</v>
      </c>
      <c r="F5">
        <v>0.46899999999999997</v>
      </c>
      <c r="G5">
        <v>5.694</v>
      </c>
      <c r="H5">
        <v>21.783000000000001</v>
      </c>
      <c r="I5" s="4">
        <f t="shared" si="0"/>
        <v>0.26139650185924801</v>
      </c>
      <c r="J5" s="9">
        <f t="shared" si="1"/>
        <v>0.18705955276819469</v>
      </c>
      <c r="L5">
        <v>7057.21</v>
      </c>
      <c r="M5">
        <v>1623.8810000000001</v>
      </c>
      <c r="N5">
        <v>1</v>
      </c>
    </row>
    <row r="6" spans="1:14" x14ac:dyDescent="0.25">
      <c r="A6">
        <v>2</v>
      </c>
      <c r="B6" t="s">
        <v>15</v>
      </c>
      <c r="C6">
        <v>0.16</v>
      </c>
      <c r="D6">
        <v>8.3000000000000004E-2</v>
      </c>
      <c r="E6">
        <v>0.191</v>
      </c>
      <c r="F6">
        <v>0.54100000000000004</v>
      </c>
      <c r="G6">
        <v>4.4240000000000004</v>
      </c>
      <c r="H6">
        <v>11.682</v>
      </c>
      <c r="I6" s="4">
        <f t="shared" si="0"/>
        <v>0.37870227700736175</v>
      </c>
      <c r="J6" s="9">
        <f t="shared" si="1"/>
        <v>0.21730615151784918</v>
      </c>
      <c r="L6">
        <v>5987.3519999999999</v>
      </c>
      <c r="M6">
        <v>1662.3209999999999</v>
      </c>
      <c r="N6">
        <v>1</v>
      </c>
    </row>
    <row r="7" spans="1:14" x14ac:dyDescent="0.25">
      <c r="A7">
        <v>4</v>
      </c>
      <c r="B7" t="s">
        <v>23</v>
      </c>
      <c r="C7">
        <v>0.157</v>
      </c>
      <c r="D7">
        <v>8.6999999999999994E-2</v>
      </c>
      <c r="E7">
        <v>0.308</v>
      </c>
      <c r="F7">
        <v>0.81299999999999994</v>
      </c>
      <c r="G7">
        <v>6.5060000000000002</v>
      </c>
      <c r="H7">
        <v>10.457000000000001</v>
      </c>
      <c r="I7" s="4">
        <f t="shared" si="0"/>
        <v>0.62216696949411876</v>
      </c>
      <c r="J7" s="9">
        <f t="shared" si="1"/>
        <v>0.32147934899270314</v>
      </c>
      <c r="L7">
        <v>5802.2349999999997</v>
      </c>
      <c r="M7">
        <v>2749.067</v>
      </c>
      <c r="N7">
        <v>1</v>
      </c>
    </row>
    <row r="8" spans="1:14" x14ac:dyDescent="0.25">
      <c r="A8">
        <v>27</v>
      </c>
      <c r="B8" t="s">
        <v>24</v>
      </c>
      <c r="C8">
        <v>0.157</v>
      </c>
      <c r="D8">
        <v>0.10299999999999999</v>
      </c>
      <c r="E8">
        <v>0.26800000000000002</v>
      </c>
      <c r="F8">
        <v>0.70299999999999996</v>
      </c>
      <c r="G8">
        <v>20.664999999999999</v>
      </c>
      <c r="H8">
        <v>39.671999999999997</v>
      </c>
      <c r="I8" s="4">
        <f t="shared" si="0"/>
        <v>0.52089635007057877</v>
      </c>
      <c r="J8" s="9">
        <f t="shared" si="1"/>
        <v>0.28211562150539871</v>
      </c>
      <c r="L8">
        <v>55531.328000000001</v>
      </c>
      <c r="M8">
        <v>21822.811000000002</v>
      </c>
      <c r="N8">
        <v>1</v>
      </c>
    </row>
    <row r="9" spans="1:14" x14ac:dyDescent="0.25">
      <c r="A9">
        <v>3</v>
      </c>
      <c r="B9" t="s">
        <v>25</v>
      </c>
      <c r="C9">
        <v>0.156</v>
      </c>
      <c r="D9">
        <v>6.4000000000000001E-2</v>
      </c>
      <c r="E9">
        <v>0.19</v>
      </c>
      <c r="F9">
        <v>0.54100000000000004</v>
      </c>
      <c r="G9">
        <v>2.7360000000000002</v>
      </c>
      <c r="H9">
        <v>7.2380000000000004</v>
      </c>
      <c r="I9" s="4">
        <f t="shared" si="0"/>
        <v>0.37800497374965458</v>
      </c>
      <c r="J9" s="9">
        <f t="shared" si="1"/>
        <v>0.14578497016308542</v>
      </c>
      <c r="L9">
        <v>5634.7089999999998</v>
      </c>
      <c r="M9">
        <v>961.65</v>
      </c>
      <c r="N9">
        <v>1</v>
      </c>
    </row>
    <row r="10" spans="1:14" x14ac:dyDescent="0.25">
      <c r="A10">
        <v>72</v>
      </c>
      <c r="B10" t="s">
        <v>26</v>
      </c>
      <c r="C10">
        <v>0.154</v>
      </c>
      <c r="D10">
        <v>9.0999999999999998E-2</v>
      </c>
      <c r="E10">
        <v>0.33100000000000002</v>
      </c>
      <c r="F10">
        <v>0.92700000000000005</v>
      </c>
      <c r="G10">
        <v>3.79</v>
      </c>
      <c r="H10">
        <v>2.8610000000000002</v>
      </c>
      <c r="I10" s="4">
        <f t="shared" si="0"/>
        <v>1.3247116392869625</v>
      </c>
      <c r="J10" s="9">
        <f t="shared" si="1"/>
        <v>0.32672944845451857</v>
      </c>
      <c r="L10">
        <v>9523.1790000000001</v>
      </c>
      <c r="M10">
        <v>4621.4750000000004</v>
      </c>
      <c r="N10">
        <v>1</v>
      </c>
    </row>
    <row r="11" spans="1:14" x14ac:dyDescent="0.25">
      <c r="A11">
        <v>11</v>
      </c>
      <c r="B11" t="s">
        <v>27</v>
      </c>
      <c r="C11">
        <v>0.14899999999999999</v>
      </c>
      <c r="D11">
        <v>7.3999999999999996E-2</v>
      </c>
      <c r="E11">
        <v>0.24</v>
      </c>
      <c r="F11">
        <v>0.64100000000000001</v>
      </c>
      <c r="G11">
        <v>4.3369999999999997</v>
      </c>
      <c r="H11">
        <v>9.2070000000000007</v>
      </c>
      <c r="I11" s="4">
        <f t="shared" si="0"/>
        <v>0.47105463234495487</v>
      </c>
      <c r="J11" s="9">
        <f t="shared" si="1"/>
        <v>0.17637765082158235</v>
      </c>
      <c r="L11">
        <v>14236.210999999999</v>
      </c>
      <c r="M11">
        <v>3048.6660000000002</v>
      </c>
      <c r="N11">
        <v>1</v>
      </c>
    </row>
    <row r="12" spans="1:14" x14ac:dyDescent="0.25">
      <c r="A12">
        <v>77</v>
      </c>
      <c r="B12" t="s">
        <v>28</v>
      </c>
      <c r="C12">
        <v>0.14699999999999999</v>
      </c>
      <c r="D12">
        <v>6.9000000000000006E-2</v>
      </c>
      <c r="E12">
        <v>0.28699999999999998</v>
      </c>
      <c r="F12">
        <v>0.752</v>
      </c>
      <c r="G12">
        <v>0.14599999999999999</v>
      </c>
      <c r="H12">
        <v>0.1</v>
      </c>
      <c r="I12" s="4">
        <f t="shared" si="0"/>
        <v>1.4599999999999997</v>
      </c>
      <c r="J12" s="9">
        <f t="shared" si="1"/>
        <v>0.14279991291095145</v>
      </c>
      <c r="L12">
        <v>295.28399999999999</v>
      </c>
      <c r="M12">
        <v>49.191000000000003</v>
      </c>
      <c r="N12">
        <v>0.503</v>
      </c>
    </row>
    <row r="13" spans="1:14" x14ac:dyDescent="0.25">
      <c r="A13">
        <v>15</v>
      </c>
      <c r="B13" t="s">
        <v>29</v>
      </c>
      <c r="C13">
        <v>0.14499999999999999</v>
      </c>
      <c r="D13">
        <v>9.1999999999999998E-2</v>
      </c>
      <c r="E13">
        <v>0.28599999999999998</v>
      </c>
      <c r="F13">
        <v>0.747</v>
      </c>
      <c r="G13">
        <v>10.555999999999999</v>
      </c>
      <c r="H13">
        <v>18.911999999999999</v>
      </c>
      <c r="I13" s="4">
        <f t="shared" si="0"/>
        <v>0.55816412859560061</v>
      </c>
      <c r="J13" s="9">
        <f t="shared" si="1"/>
        <v>0.23600647796268243</v>
      </c>
      <c r="L13">
        <v>29718.788</v>
      </c>
      <c r="M13">
        <v>9180.4789999999994</v>
      </c>
      <c r="N13">
        <v>1</v>
      </c>
    </row>
    <row r="14" spans="1:14" x14ac:dyDescent="0.25">
      <c r="A14">
        <v>8</v>
      </c>
      <c r="B14" t="s">
        <v>30</v>
      </c>
      <c r="C14">
        <v>0.14399999999999999</v>
      </c>
      <c r="D14">
        <v>7.5999999999999998E-2</v>
      </c>
      <c r="E14">
        <v>0.26900000000000002</v>
      </c>
      <c r="F14">
        <v>0.70599999999999996</v>
      </c>
      <c r="G14">
        <v>4.117</v>
      </c>
      <c r="H14">
        <v>7.867</v>
      </c>
      <c r="I14" s="4">
        <f t="shared" si="0"/>
        <v>0.52332528282699886</v>
      </c>
      <c r="J14" s="9">
        <f t="shared" si="1"/>
        <v>0.20230875862998496</v>
      </c>
      <c r="L14">
        <v>10593.922</v>
      </c>
      <c r="M14">
        <v>2686.808</v>
      </c>
      <c r="N14">
        <v>1</v>
      </c>
    </row>
    <row r="15" spans="1:14" x14ac:dyDescent="0.25">
      <c r="A15">
        <v>5</v>
      </c>
      <c r="B15" t="s">
        <v>31</v>
      </c>
      <c r="C15">
        <v>0.14199999999999999</v>
      </c>
      <c r="D15">
        <v>8.6999999999999994E-2</v>
      </c>
      <c r="E15">
        <v>0.30199999999999999</v>
      </c>
      <c r="F15">
        <v>0.79600000000000004</v>
      </c>
      <c r="G15">
        <v>10.382</v>
      </c>
      <c r="H15">
        <v>17.204999999999998</v>
      </c>
      <c r="I15" s="4">
        <f t="shared" si="0"/>
        <v>0.60342923568730022</v>
      </c>
      <c r="J15" s="9">
        <f t="shared" si="1"/>
        <v>0.25030291785214664</v>
      </c>
      <c r="L15">
        <v>6917.3980000000001</v>
      </c>
      <c r="M15">
        <v>2309.5259999999998</v>
      </c>
      <c r="N15">
        <v>1</v>
      </c>
    </row>
    <row r="16" spans="1:14" x14ac:dyDescent="0.25">
      <c r="A16">
        <v>10</v>
      </c>
      <c r="B16" t="s">
        <v>32</v>
      </c>
      <c r="C16">
        <v>0.14099999999999999</v>
      </c>
      <c r="D16">
        <v>0.08</v>
      </c>
      <c r="E16">
        <v>0.33100000000000002</v>
      </c>
      <c r="F16">
        <v>0.92700000000000005</v>
      </c>
      <c r="G16">
        <v>0.626</v>
      </c>
      <c r="H16">
        <v>0.1</v>
      </c>
      <c r="I16" s="4">
        <f t="shared" si="0"/>
        <v>6.26</v>
      </c>
      <c r="J16" s="9">
        <f t="shared" si="1"/>
        <v>0.23108504827083756</v>
      </c>
      <c r="L16">
        <v>1895.4929999999999</v>
      </c>
      <c r="M16">
        <v>569.66</v>
      </c>
      <c r="N16">
        <v>1</v>
      </c>
    </row>
    <row r="17" spans="1:14" x14ac:dyDescent="0.25">
      <c r="A17">
        <v>12</v>
      </c>
      <c r="B17" t="s">
        <v>33</v>
      </c>
      <c r="C17">
        <v>0.14099999999999999</v>
      </c>
      <c r="D17">
        <v>9.4E-2</v>
      </c>
      <c r="E17">
        <v>0.30499999999999999</v>
      </c>
      <c r="F17">
        <v>0.80400000000000005</v>
      </c>
      <c r="G17">
        <v>17.75</v>
      </c>
      <c r="H17">
        <v>28.981999999999999</v>
      </c>
      <c r="I17" s="4">
        <f t="shared" si="0"/>
        <v>0.61244910634186733</v>
      </c>
      <c r="J17" s="9">
        <f t="shared" si="1"/>
        <v>0.23862692950852335</v>
      </c>
      <c r="L17">
        <v>26497.55</v>
      </c>
      <c r="M17">
        <v>8304.7710000000006</v>
      </c>
      <c r="N17">
        <v>1</v>
      </c>
    </row>
    <row r="18" spans="1:14" x14ac:dyDescent="0.25">
      <c r="A18">
        <v>10</v>
      </c>
      <c r="B18" t="s">
        <v>32</v>
      </c>
      <c r="C18">
        <v>0.14099999999999999</v>
      </c>
      <c r="D18">
        <v>0.08</v>
      </c>
      <c r="E18">
        <v>0.33100000000000002</v>
      </c>
      <c r="F18">
        <v>0.92700000000000005</v>
      </c>
      <c r="G18">
        <v>0.626</v>
      </c>
      <c r="H18">
        <v>0.1</v>
      </c>
      <c r="I18" s="4">
        <f t="shared" si="0"/>
        <v>6.26</v>
      </c>
      <c r="J18" s="9">
        <f t="shared" si="1"/>
        <v>0.23108504827083756</v>
      </c>
      <c r="L18">
        <v>1895.4929999999999</v>
      </c>
      <c r="M18">
        <v>569.66</v>
      </c>
      <c r="N18">
        <v>1</v>
      </c>
    </row>
    <row r="19" spans="1:14" x14ac:dyDescent="0.25">
      <c r="A19">
        <v>75</v>
      </c>
      <c r="B19" t="s">
        <v>34</v>
      </c>
      <c r="C19">
        <v>0.14000000000000001</v>
      </c>
      <c r="D19">
        <v>7.6999999999999999E-2</v>
      </c>
      <c r="E19">
        <v>0.29399999999999998</v>
      </c>
      <c r="F19">
        <v>0.76900000000000002</v>
      </c>
      <c r="G19">
        <v>4.1360000000000001</v>
      </c>
      <c r="H19">
        <v>7.1619999999999999</v>
      </c>
      <c r="I19" s="4">
        <f t="shared" si="0"/>
        <v>0.57749232058084332</v>
      </c>
      <c r="J19" s="9">
        <f t="shared" si="1"/>
        <v>0.21523719670654576</v>
      </c>
      <c r="L19">
        <v>1578.7449999999999</v>
      </c>
      <c r="M19">
        <v>433.00299999999999</v>
      </c>
      <c r="N19">
        <v>1</v>
      </c>
    </row>
    <row r="20" spans="1:14" s="12" customFormat="1" x14ac:dyDescent="0.25">
      <c r="A20" s="12">
        <v>14</v>
      </c>
      <c r="B20" s="12" t="s">
        <v>35</v>
      </c>
      <c r="C20" s="12">
        <v>0.13900000000000001</v>
      </c>
      <c r="D20" s="12">
        <v>0.10100000000000001</v>
      </c>
      <c r="E20" s="12">
        <v>0.309</v>
      </c>
      <c r="F20" s="12">
        <v>0.81799999999999995</v>
      </c>
      <c r="G20" s="12">
        <v>14.833</v>
      </c>
      <c r="H20" s="12">
        <v>23.597999999999999</v>
      </c>
      <c r="I20" s="13">
        <f t="shared" si="0"/>
        <v>0.62857021781506905</v>
      </c>
      <c r="J20" s="14">
        <f t="shared" si="1"/>
        <v>0.2071255954922607</v>
      </c>
      <c r="L20" s="12">
        <v>24818.756000000001</v>
      </c>
      <c r="M20" s="12">
        <v>6483.4979999999996</v>
      </c>
      <c r="N20" s="12">
        <v>1</v>
      </c>
    </row>
    <row r="21" spans="1:14" x14ac:dyDescent="0.25">
      <c r="A21">
        <v>17</v>
      </c>
      <c r="B21" t="s">
        <v>36</v>
      </c>
      <c r="C21">
        <v>0.13800000000000001</v>
      </c>
      <c r="D21">
        <v>9.0999999999999998E-2</v>
      </c>
      <c r="E21">
        <v>0.309</v>
      </c>
      <c r="F21">
        <v>0.81799999999999995</v>
      </c>
      <c r="G21">
        <v>15.305</v>
      </c>
      <c r="H21">
        <v>24.361999999999998</v>
      </c>
      <c r="I21" s="4">
        <f t="shared" si="0"/>
        <v>0.62823249322715713</v>
      </c>
      <c r="J21" s="9">
        <f t="shared" si="1"/>
        <v>0.20326279058577845</v>
      </c>
      <c r="L21">
        <v>16641.717000000001</v>
      </c>
      <c r="M21">
        <v>4245.6180000000004</v>
      </c>
      <c r="N21">
        <v>1</v>
      </c>
    </row>
    <row r="22" spans="1:14" x14ac:dyDescent="0.25">
      <c r="A22">
        <v>25</v>
      </c>
      <c r="B22" t="s">
        <v>37</v>
      </c>
      <c r="C22">
        <v>0.13700000000000001</v>
      </c>
      <c r="D22">
        <v>9.7000000000000003E-2</v>
      </c>
      <c r="E22">
        <v>0.32600000000000001</v>
      </c>
      <c r="F22">
        <v>0.89300000000000002</v>
      </c>
      <c r="G22">
        <v>34.966000000000001</v>
      </c>
      <c r="H22">
        <v>45.79</v>
      </c>
      <c r="I22" s="4">
        <f t="shared" si="0"/>
        <v>0.76361651015505572</v>
      </c>
      <c r="J22" s="9">
        <f t="shared" si="1"/>
        <v>0.2385454842333746</v>
      </c>
      <c r="L22">
        <v>56669.485000000001</v>
      </c>
      <c r="M22">
        <v>17753.194</v>
      </c>
      <c r="N22">
        <v>1</v>
      </c>
    </row>
    <row r="23" spans="1:14" x14ac:dyDescent="0.25">
      <c r="A23">
        <v>21</v>
      </c>
      <c r="B23" t="s">
        <v>38</v>
      </c>
      <c r="C23">
        <v>0.13600000000000001</v>
      </c>
      <c r="D23">
        <v>9.0999999999999998E-2</v>
      </c>
      <c r="E23">
        <v>0.32300000000000001</v>
      </c>
      <c r="F23">
        <v>0.876</v>
      </c>
      <c r="G23">
        <v>31.763999999999999</v>
      </c>
      <c r="H23">
        <v>44.298999999999999</v>
      </c>
      <c r="I23" s="4">
        <f t="shared" si="0"/>
        <v>0.71703650195264002</v>
      </c>
      <c r="J23" s="9">
        <f t="shared" si="1"/>
        <v>0.22777600227939598</v>
      </c>
      <c r="L23">
        <v>34127.794000000002</v>
      </c>
      <c r="M23">
        <v>10066.370000000001</v>
      </c>
      <c r="N23">
        <v>1</v>
      </c>
    </row>
    <row r="24" spans="1:14" s="12" customFormat="1" x14ac:dyDescent="0.25">
      <c r="A24" s="12">
        <v>26</v>
      </c>
      <c r="B24" s="12" t="s">
        <v>39</v>
      </c>
      <c r="C24" s="12">
        <v>0.13600000000000001</v>
      </c>
      <c r="D24" s="12">
        <v>0.10199999999999999</v>
      </c>
      <c r="E24" s="12">
        <v>0.33</v>
      </c>
      <c r="F24" s="12">
        <v>0.91600000000000004</v>
      </c>
      <c r="G24" s="12">
        <v>34.848999999999997</v>
      </c>
      <c r="H24" s="12">
        <v>39.582000000000001</v>
      </c>
      <c r="I24" s="13">
        <f t="shared" si="0"/>
        <v>0.88042544590975691</v>
      </c>
      <c r="J24" s="14">
        <f t="shared" si="1"/>
        <v>0.22753068597304968</v>
      </c>
      <c r="L24" s="12">
        <v>50701.618999999999</v>
      </c>
      <c r="M24" s="12">
        <v>14934.152</v>
      </c>
      <c r="N24" s="12">
        <v>1</v>
      </c>
    </row>
    <row r="25" spans="1:14" s="12" customFormat="1" x14ac:dyDescent="0.25">
      <c r="A25" s="12">
        <v>16</v>
      </c>
      <c r="B25" s="12" t="s">
        <v>40</v>
      </c>
      <c r="C25" s="12">
        <v>0.13600000000000001</v>
      </c>
      <c r="D25" s="12">
        <v>0.10199999999999999</v>
      </c>
      <c r="E25" s="12">
        <v>0.33100000000000002</v>
      </c>
      <c r="F25" s="12">
        <v>0.92700000000000005</v>
      </c>
      <c r="G25" s="12">
        <v>13.654</v>
      </c>
      <c r="H25" s="12">
        <v>8.6419999999999995</v>
      </c>
      <c r="I25" s="13">
        <f t="shared" si="0"/>
        <v>1.579958342976163</v>
      </c>
      <c r="J25" s="14">
        <f t="shared" si="1"/>
        <v>0.23519433602620229</v>
      </c>
      <c r="L25" s="12">
        <v>27373.687999999998</v>
      </c>
      <c r="M25" s="12">
        <v>8418.0030000000006</v>
      </c>
      <c r="N25" s="12">
        <v>1</v>
      </c>
    </row>
    <row r="26" spans="1:14" x14ac:dyDescent="0.25">
      <c r="A26">
        <v>18</v>
      </c>
      <c r="B26" t="s">
        <v>41</v>
      </c>
      <c r="C26">
        <v>0.13500000000000001</v>
      </c>
      <c r="D26">
        <v>9.5000000000000001E-2</v>
      </c>
      <c r="E26">
        <v>0.32900000000000001</v>
      </c>
      <c r="F26">
        <v>0.91</v>
      </c>
      <c r="G26">
        <v>15.065</v>
      </c>
      <c r="H26">
        <v>18.030999999999999</v>
      </c>
      <c r="I26" s="4">
        <f t="shared" si="0"/>
        <v>0.83550551827408359</v>
      </c>
      <c r="J26" s="9">
        <f t="shared" si="1"/>
        <v>0.23097330532509738</v>
      </c>
      <c r="L26">
        <v>27342.940999999999</v>
      </c>
      <c r="M26">
        <v>8212.3150000000005</v>
      </c>
      <c r="N26">
        <v>1</v>
      </c>
    </row>
    <row r="27" spans="1:14" x14ac:dyDescent="0.25">
      <c r="A27">
        <v>13</v>
      </c>
      <c r="B27" t="s">
        <v>42</v>
      </c>
      <c r="C27">
        <v>0.13400000000000001</v>
      </c>
      <c r="D27">
        <v>7.9000000000000001E-2</v>
      </c>
      <c r="E27">
        <v>0.315</v>
      </c>
      <c r="F27">
        <v>0.84</v>
      </c>
      <c r="G27">
        <v>3.7160000000000002</v>
      </c>
      <c r="H27">
        <v>5.6639999999999997</v>
      </c>
      <c r="I27" s="4">
        <f t="shared" si="0"/>
        <v>0.65607344632768372</v>
      </c>
      <c r="J27" s="9">
        <f t="shared" si="1"/>
        <v>0.17413449165673936</v>
      </c>
      <c r="L27">
        <v>21379.429</v>
      </c>
      <c r="M27">
        <v>4507.8720000000003</v>
      </c>
      <c r="N27">
        <v>1</v>
      </c>
    </row>
    <row r="28" spans="1:14" x14ac:dyDescent="0.25">
      <c r="A28">
        <v>9</v>
      </c>
      <c r="B28" t="s">
        <v>43</v>
      </c>
      <c r="C28">
        <v>0.13400000000000001</v>
      </c>
      <c r="D28">
        <v>9.2999999999999999E-2</v>
      </c>
      <c r="E28">
        <v>0.32400000000000001</v>
      </c>
      <c r="F28">
        <v>0.88200000000000001</v>
      </c>
      <c r="G28">
        <v>10.914</v>
      </c>
      <c r="H28">
        <v>14.93</v>
      </c>
      <c r="I28" s="4">
        <f t="shared" si="0"/>
        <v>0.73101138647019426</v>
      </c>
      <c r="J28" s="9">
        <f t="shared" si="1"/>
        <v>0.18643569272447291</v>
      </c>
      <c r="L28">
        <v>15190.924000000001</v>
      </c>
      <c r="M28">
        <v>3481.1390000000001</v>
      </c>
      <c r="N28">
        <v>1</v>
      </c>
    </row>
    <row r="29" spans="1:14" x14ac:dyDescent="0.25">
      <c r="A29">
        <v>24</v>
      </c>
      <c r="B29" t="s">
        <v>44</v>
      </c>
      <c r="C29">
        <v>0.13400000000000001</v>
      </c>
      <c r="D29">
        <v>9.5000000000000001E-2</v>
      </c>
      <c r="E29">
        <v>0.32800000000000001</v>
      </c>
      <c r="F29">
        <v>0.90400000000000003</v>
      </c>
      <c r="G29">
        <v>13.076000000000001</v>
      </c>
      <c r="H29">
        <v>16.251999999999999</v>
      </c>
      <c r="I29" s="4">
        <f t="shared" si="0"/>
        <v>0.8045778981048487</v>
      </c>
      <c r="J29" s="9">
        <f t="shared" si="1"/>
        <v>0.21353455587040965</v>
      </c>
      <c r="L29">
        <v>47558.112000000001</v>
      </c>
      <c r="M29">
        <v>12912.583000000001</v>
      </c>
      <c r="N29">
        <v>1</v>
      </c>
    </row>
    <row r="30" spans="1:14" x14ac:dyDescent="0.25">
      <c r="A30">
        <v>23</v>
      </c>
      <c r="B30" t="s">
        <v>16</v>
      </c>
      <c r="C30">
        <v>0.13400000000000001</v>
      </c>
      <c r="D30">
        <v>9.4E-2</v>
      </c>
      <c r="E30">
        <v>0.32600000000000001</v>
      </c>
      <c r="F30">
        <v>0.89500000000000002</v>
      </c>
      <c r="G30">
        <v>18.806000000000001</v>
      </c>
      <c r="H30">
        <v>24.504000000000001</v>
      </c>
      <c r="I30" s="4">
        <f t="shared" si="0"/>
        <v>0.76746653607574278</v>
      </c>
      <c r="J30" s="9">
        <f t="shared" si="1"/>
        <v>0.21092358555591548</v>
      </c>
      <c r="L30">
        <v>54736.3</v>
      </c>
      <c r="M30">
        <v>14631.253000000001</v>
      </c>
      <c r="N30">
        <v>1</v>
      </c>
    </row>
    <row r="31" spans="1:14" s="12" customFormat="1" x14ac:dyDescent="0.25">
      <c r="A31" s="12">
        <v>7</v>
      </c>
      <c r="B31" s="12" t="s">
        <v>45</v>
      </c>
      <c r="C31" s="12">
        <v>0.13200000000000001</v>
      </c>
      <c r="D31" s="12">
        <v>6.6000000000000003E-2</v>
      </c>
      <c r="E31" s="12">
        <v>0.314</v>
      </c>
      <c r="F31" s="12">
        <v>0.83799999999999997</v>
      </c>
      <c r="G31" s="12">
        <v>0.82199999999999995</v>
      </c>
      <c r="H31" s="12">
        <v>1.258</v>
      </c>
      <c r="I31" s="13">
        <f t="shared" si="0"/>
        <v>0.65341812400635924</v>
      </c>
      <c r="J31" s="14">
        <f t="shared" si="1"/>
        <v>0.14241994303071306</v>
      </c>
      <c r="L31" s="12">
        <v>5762.1310000000003</v>
      </c>
      <c r="M31" s="12">
        <v>956.928</v>
      </c>
      <c r="N31" s="12">
        <v>0.999</v>
      </c>
    </row>
    <row r="32" spans="1:14" x14ac:dyDescent="0.25">
      <c r="A32">
        <v>74</v>
      </c>
      <c r="B32" t="s">
        <v>18</v>
      </c>
      <c r="C32">
        <v>0.13200000000000001</v>
      </c>
      <c r="D32">
        <v>9.4E-2</v>
      </c>
      <c r="E32">
        <v>0.33100000000000002</v>
      </c>
      <c r="F32">
        <v>0.92700000000000005</v>
      </c>
      <c r="G32">
        <v>6.867</v>
      </c>
      <c r="H32">
        <v>5.125</v>
      </c>
      <c r="I32" s="4">
        <f t="shared" si="0"/>
        <v>1.3399024390243903</v>
      </c>
      <c r="J32" s="9">
        <f t="shared" si="1"/>
        <v>0.18843285302733545</v>
      </c>
      <c r="L32">
        <v>1671.9459999999999</v>
      </c>
      <c r="M32">
        <v>388.19900000000001</v>
      </c>
      <c r="N32">
        <v>1</v>
      </c>
    </row>
    <row r="33" spans="1:14" x14ac:dyDescent="0.25">
      <c r="A33">
        <v>71</v>
      </c>
      <c r="B33" t="s">
        <v>17</v>
      </c>
      <c r="C33">
        <v>0.13200000000000001</v>
      </c>
      <c r="D33">
        <v>6.0999999999999999E-2</v>
      </c>
      <c r="E33">
        <v>0.33100000000000002</v>
      </c>
      <c r="F33">
        <v>0.92700000000000005</v>
      </c>
      <c r="G33">
        <v>0.63800000000000001</v>
      </c>
      <c r="H33">
        <v>0.40400000000000003</v>
      </c>
      <c r="I33" s="4">
        <f t="shared" si="0"/>
        <v>1.5792079207920791</v>
      </c>
      <c r="J33" s="9">
        <f t="shared" si="1"/>
        <v>0.11326058639071571</v>
      </c>
      <c r="L33">
        <v>1171.5609999999999</v>
      </c>
      <c r="M33">
        <v>149.63999999999999</v>
      </c>
      <c r="N33">
        <v>1</v>
      </c>
    </row>
    <row r="34" spans="1:14" x14ac:dyDescent="0.25">
      <c r="A34">
        <v>19</v>
      </c>
      <c r="B34" t="s">
        <v>19</v>
      </c>
      <c r="C34">
        <v>0.13</v>
      </c>
      <c r="D34">
        <v>7.9000000000000001E-2</v>
      </c>
      <c r="E34">
        <v>0.33</v>
      </c>
      <c r="F34">
        <v>0.91500000000000004</v>
      </c>
      <c r="G34">
        <v>6.3410000000000002</v>
      </c>
      <c r="H34">
        <v>7.2489999999999997</v>
      </c>
      <c r="I34" s="4">
        <f t="shared" si="0"/>
        <v>0.87474134363360467</v>
      </c>
      <c r="J34" s="9">
        <f t="shared" si="1"/>
        <v>0.1617881715231968</v>
      </c>
      <c r="L34">
        <v>36876.489000000001</v>
      </c>
      <c r="M34">
        <v>7117.7470000000003</v>
      </c>
      <c r="N34">
        <v>1</v>
      </c>
    </row>
    <row r="35" spans="1:14" x14ac:dyDescent="0.25">
      <c r="A35">
        <v>6</v>
      </c>
      <c r="B35" t="s">
        <v>20</v>
      </c>
      <c r="C35">
        <v>0.13</v>
      </c>
      <c r="D35">
        <v>7.3999999999999996E-2</v>
      </c>
      <c r="E35">
        <v>0.32800000000000001</v>
      </c>
      <c r="F35">
        <v>0.90600000000000003</v>
      </c>
      <c r="G35">
        <v>1.7869999999999999</v>
      </c>
      <c r="H35">
        <v>2.1930000000000001</v>
      </c>
      <c r="I35" s="4">
        <f t="shared" si="0"/>
        <v>0.81486548107615131</v>
      </c>
      <c r="J35" s="9">
        <f t="shared" si="1"/>
        <v>0.16946180133938235</v>
      </c>
      <c r="L35">
        <v>5793.3810000000003</v>
      </c>
      <c r="M35">
        <v>1182.0730000000001</v>
      </c>
      <c r="N35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B9CA-FFA4-4170-A902-97789621B40E}">
  <dimension ref="A1:N4"/>
  <sheetViews>
    <sheetView tabSelected="1" workbookViewId="0">
      <selection activeCell="G3" sqref="G3"/>
    </sheetView>
  </sheetViews>
  <sheetFormatPr baseColWidth="10" defaultRowHeight="15" x14ac:dyDescent="0.25"/>
  <cols>
    <col min="7" max="7" width="15.140625" bestFit="1" customWidth="1"/>
    <col min="9" max="9" width="10.42578125" bestFit="1" customWidth="1"/>
  </cols>
  <sheetData>
    <row r="1" spans="1:14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22</v>
      </c>
      <c r="J1" s="11" t="s">
        <v>21</v>
      </c>
      <c r="L1" s="1" t="s">
        <v>8</v>
      </c>
      <c r="M1" s="1" t="s">
        <v>9</v>
      </c>
      <c r="N1" s="1" t="s">
        <v>10</v>
      </c>
    </row>
    <row r="2" spans="1:14" s="12" customFormat="1" x14ac:dyDescent="0.25">
      <c r="A2" s="12">
        <v>20</v>
      </c>
      <c r="B2" s="12" t="s">
        <v>11</v>
      </c>
      <c r="C2" s="12">
        <v>0.218</v>
      </c>
      <c r="D2" s="12">
        <v>9.6000000000000002E-2</v>
      </c>
      <c r="E2" s="12">
        <v>0.14699999999999999</v>
      </c>
      <c r="F2" s="12">
        <v>0.45800000000000002</v>
      </c>
      <c r="G2" s="12">
        <v>89.974000000000004</v>
      </c>
      <c r="H2" s="12">
        <v>394.78699999999998</v>
      </c>
      <c r="I2" s="13">
        <f>G2/H2</f>
        <v>0.22790517418253389</v>
      </c>
      <c r="J2" s="14">
        <f>M2/(M2+L2)</f>
        <v>0.37381428049208265</v>
      </c>
      <c r="L2" s="12">
        <v>39242.574999999997</v>
      </c>
      <c r="M2" s="12">
        <v>23426.651999999998</v>
      </c>
      <c r="N2" s="12">
        <v>1</v>
      </c>
    </row>
    <row r="3" spans="1:14" s="12" customFormat="1" x14ac:dyDescent="0.25">
      <c r="A3" s="12">
        <v>16</v>
      </c>
      <c r="B3" s="12" t="s">
        <v>40</v>
      </c>
      <c r="C3" s="12">
        <v>0.13600000000000001</v>
      </c>
      <c r="D3" s="12">
        <v>0.10199999999999999</v>
      </c>
      <c r="E3" s="12">
        <v>0.33100000000000002</v>
      </c>
      <c r="F3" s="12">
        <v>0.92700000000000005</v>
      </c>
      <c r="G3" s="12">
        <v>13.654</v>
      </c>
      <c r="H3" s="12">
        <v>8.6419999999999995</v>
      </c>
      <c r="I3" s="13">
        <f t="shared" ref="I3:I4" si="0">G3/H3</f>
        <v>1.579958342976163</v>
      </c>
      <c r="J3" s="14">
        <f t="shared" ref="J3:J4" si="1">M3/(M3+L3)</f>
        <v>0.23519433602620229</v>
      </c>
      <c r="L3" s="12">
        <v>27373.687999999998</v>
      </c>
      <c r="M3" s="12">
        <v>8418.0030000000006</v>
      </c>
      <c r="N3" s="12">
        <v>1</v>
      </c>
    </row>
    <row r="4" spans="1:14" s="12" customFormat="1" x14ac:dyDescent="0.25">
      <c r="A4" s="12">
        <v>7</v>
      </c>
      <c r="B4" s="12" t="s">
        <v>45</v>
      </c>
      <c r="C4" s="12">
        <v>0.13200000000000001</v>
      </c>
      <c r="D4" s="12">
        <v>6.6000000000000003E-2</v>
      </c>
      <c r="E4" s="12">
        <v>0.314</v>
      </c>
      <c r="F4" s="12">
        <v>0.83799999999999997</v>
      </c>
      <c r="G4" s="12">
        <v>0.82199999999999995</v>
      </c>
      <c r="H4" s="12">
        <v>1.258</v>
      </c>
      <c r="I4" s="13">
        <f t="shared" si="0"/>
        <v>0.65341812400635924</v>
      </c>
      <c r="J4" s="14">
        <f t="shared" si="1"/>
        <v>0.14241994303071306</v>
      </c>
      <c r="L4" s="12">
        <v>5762.1310000000003</v>
      </c>
      <c r="M4" s="12">
        <v>956.928</v>
      </c>
      <c r="N4" s="12">
        <v>0.999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Top_and_low_five</vt:lpstr>
      <vt:lpstr>All_boroughs</vt:lpstr>
      <vt:lpstr>Three_selected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Reiner Braun - os4os</cp:lastModifiedBy>
  <dcterms:created xsi:type="dcterms:W3CDTF">2025-11-22T10:24:50Z</dcterms:created>
  <dcterms:modified xsi:type="dcterms:W3CDTF">2025-11-22T16:50:15Z</dcterms:modified>
</cp:coreProperties>
</file>